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hana\Downloads\"/>
    </mc:Choice>
  </mc:AlternateContent>
  <xr:revisionPtr revIDLastSave="0" documentId="13_ncr:1_{D15952F8-7639-403D-94F0-79D2E4EC583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9" i="2" l="1"/>
  <c r="D14" i="3"/>
  <c r="I4" i="3" s="1"/>
  <c r="D9" i="3"/>
  <c r="G4" i="3" s="1"/>
  <c r="D4" i="3"/>
  <c r="J4" i="2"/>
  <c r="H4" i="2"/>
  <c r="D14" i="2"/>
  <c r="D9" i="2"/>
  <c r="D4" i="2"/>
  <c r="K4" i="3" l="1"/>
  <c r="L5" i="3" s="1"/>
  <c r="L4" i="2"/>
  <c r="O4" i="2" l="1"/>
  <c r="Q4" i="2" s="1"/>
  <c r="M5" i="2"/>
  <c r="N4" i="3"/>
  <c r="P4" i="3" s="1"/>
  <c r="Q4" i="3" s="1"/>
  <c r="R4" i="3" s="1"/>
  <c r="N6" i="3"/>
  <c r="P6" i="3" s="1"/>
  <c r="Q6" i="3" s="1"/>
  <c r="R6" i="3" s="1"/>
  <c r="R4" i="2" l="1"/>
  <c r="S4" i="2" s="1"/>
</calcChain>
</file>

<file path=xl/sharedStrings.xml><?xml version="1.0" encoding="utf-8"?>
<sst xmlns="http://schemas.openxmlformats.org/spreadsheetml/2006/main" count="62" uniqueCount="38">
  <si>
    <t>BugNo</t>
  </si>
  <si>
    <t>Subcontractor Group attendance</t>
  </si>
  <si>
    <t>Module Name</t>
  </si>
  <si>
    <t>Issues</t>
  </si>
  <si>
    <t>There is bill number issue , 1st bill no shows blank and from send bill shows 1</t>
  </si>
  <si>
    <t>Subcontractor indent</t>
  </si>
  <si>
    <t>Issues with particular  in work name  eg:SFDS in comany A &amp; D</t>
  </si>
  <si>
    <t>Add TDS option</t>
  </si>
  <si>
    <t>Subcontractor bill</t>
  </si>
  <si>
    <t>TDS value is not reduce from advance</t>
  </si>
  <si>
    <t>In workorder don't allow next bill to be generated before approving first bill</t>
  </si>
  <si>
    <t>subcontractor bill</t>
  </si>
  <si>
    <t>Contract work order</t>
  </si>
  <si>
    <t>Stock entry</t>
  </si>
  <si>
    <t xml:space="preserve">Need To save net amount in database </t>
  </si>
  <si>
    <t>Display last purchase rate at select indent</t>
  </si>
  <si>
    <t>Purchase order</t>
  </si>
  <si>
    <t>Balance project qty should display as 'Na' when there is no schedule</t>
  </si>
  <si>
    <t>P.O,Indent,Stock entry</t>
  </si>
  <si>
    <t>Forman Payment</t>
  </si>
  <si>
    <t>Calculation issues</t>
  </si>
  <si>
    <t>OnHold</t>
  </si>
  <si>
    <t>Material</t>
  </si>
  <si>
    <t>Qty</t>
  </si>
  <si>
    <t>Rate</t>
  </si>
  <si>
    <t>Material Total</t>
  </si>
  <si>
    <t>Labour</t>
  </si>
  <si>
    <t>Labour Total</t>
  </si>
  <si>
    <t>SubContractor Total</t>
  </si>
  <si>
    <t>SubContractor</t>
  </si>
  <si>
    <t>Labour Charge %</t>
  </si>
  <si>
    <t>Sub Charge %</t>
  </si>
  <si>
    <t>Other Ex</t>
  </si>
  <si>
    <t>Profit  %</t>
  </si>
  <si>
    <t>GST/Tax %</t>
  </si>
  <si>
    <t>Total</t>
  </si>
  <si>
    <t>WECharge %</t>
  </si>
  <si>
    <t>NegotiatedRateAmt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</si>
</sst>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0" borderId="1" xfId="0" applyBorder="1"/>
    <xf numFmtId="0" fontId="1" fillId="4" borderId="1" xfId="0" applyFont="1" applyFill="1" applyBorder="1"/>
    <xf numFmtId="0" fontId="1" fillId="0" borderId="1" xfId="0" applyFont="1" applyBorder="1"/>
    <xf numFmtId="0" fontId="1" fillId="3" borderId="1" xfId="0" applyFont="1" applyFill="1" applyBorder="1"/>
    <xf numFmtId="0" fontId="1" fillId="5" borderId="1" xfId="0" applyFont="1" applyFill="1" applyBorder="1"/>
    <xf numFmtId="0" fontId="1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activeCell="C2" sqref="C2"/>
    </sheetView>
  </sheetViews>
  <sheetFormatPr defaultRowHeight="14.4" x14ac:dyDescent="0.3"/>
  <cols>
    <col min="2" max="2" width="27.77734375" customWidth="1"/>
    <col min="3" max="3" width="62.77734375" customWidth="1"/>
  </cols>
  <sheetData>
    <row r="1" spans="1:4" x14ac:dyDescent="0.3">
      <c r="A1" t="s">
        <v>0</v>
      </c>
      <c r="B1" t="s">
        <v>2</v>
      </c>
      <c r="C1" t="s">
        <v>3</v>
      </c>
    </row>
    <row r="2" spans="1:4" x14ac:dyDescent="0.3">
      <c r="B2" t="s">
        <v>19</v>
      </c>
      <c r="C2" t="s">
        <v>20</v>
      </c>
    </row>
    <row r="3" spans="1:4" x14ac:dyDescent="0.3">
      <c r="A3" s="1">
        <v>54</v>
      </c>
      <c r="B3" t="s">
        <v>1</v>
      </c>
      <c r="C3" t="s">
        <v>4</v>
      </c>
    </row>
    <row r="4" spans="1:4" x14ac:dyDescent="0.3">
      <c r="A4" s="1">
        <v>143</v>
      </c>
      <c r="B4" t="s">
        <v>5</v>
      </c>
      <c r="C4" t="s">
        <v>6</v>
      </c>
    </row>
    <row r="5" spans="1:4" x14ac:dyDescent="0.3">
      <c r="A5" s="1">
        <v>179</v>
      </c>
      <c r="B5" t="s">
        <v>8</v>
      </c>
      <c r="C5" t="s">
        <v>9</v>
      </c>
    </row>
    <row r="6" spans="1:4" x14ac:dyDescent="0.3">
      <c r="A6" s="1">
        <v>183</v>
      </c>
      <c r="B6" t="s">
        <v>11</v>
      </c>
      <c r="C6" t="s">
        <v>10</v>
      </c>
    </row>
    <row r="7" spans="1:4" x14ac:dyDescent="0.3">
      <c r="A7">
        <v>177</v>
      </c>
      <c r="B7" t="s">
        <v>12</v>
      </c>
      <c r="C7" t="s">
        <v>7</v>
      </c>
      <c r="D7" t="s">
        <v>21</v>
      </c>
    </row>
    <row r="8" spans="1:4" x14ac:dyDescent="0.3">
      <c r="A8" s="1">
        <v>66</v>
      </c>
      <c r="B8" t="s">
        <v>13</v>
      </c>
      <c r="C8" t="s">
        <v>14</v>
      </c>
    </row>
    <row r="9" spans="1:4" x14ac:dyDescent="0.3">
      <c r="A9" s="1">
        <v>65</v>
      </c>
      <c r="B9" t="s">
        <v>16</v>
      </c>
      <c r="C9" t="s">
        <v>15</v>
      </c>
    </row>
    <row r="10" spans="1:4" x14ac:dyDescent="0.3">
      <c r="A10" s="1">
        <v>60</v>
      </c>
      <c r="B10" t="s">
        <v>18</v>
      </c>
      <c r="C10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S15"/>
  <sheetViews>
    <sheetView workbookViewId="0">
      <selection activeCell="G10" sqref="G10:S10"/>
    </sheetView>
  </sheetViews>
  <sheetFormatPr defaultRowHeight="14.4" x14ac:dyDescent="0.3"/>
  <cols>
    <col min="4" max="4" width="20.5546875" bestFit="1" customWidth="1"/>
    <col min="7" max="7" width="14.77734375" bestFit="1" customWidth="1"/>
    <col min="8" max="8" width="2.109375" bestFit="1" customWidth="1"/>
    <col min="9" max="9" width="11.88671875" bestFit="1" customWidth="1"/>
    <col min="10" max="10" width="3.21875" bestFit="1" customWidth="1"/>
    <col min="11" max="11" width="14.109375" bestFit="1" customWidth="1"/>
    <col min="12" max="12" width="6.5546875" bestFit="1" customWidth="1"/>
    <col min="13" max="13" width="11.88671875" bestFit="1" customWidth="1"/>
    <col min="15" max="15" width="10.44140625" bestFit="1" customWidth="1"/>
    <col min="16" max="16" width="9.6640625" bestFit="1" customWidth="1"/>
    <col min="17" max="17" width="11" bestFit="1" customWidth="1"/>
    <col min="19" max="19" width="20.109375" bestFit="1" customWidth="1"/>
  </cols>
  <sheetData>
    <row r="2" spans="1:19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9" ht="15.6" x14ac:dyDescent="0.3">
      <c r="A3" s="3"/>
      <c r="B3" s="3" t="s">
        <v>23</v>
      </c>
      <c r="C3" s="3" t="s">
        <v>24</v>
      </c>
      <c r="D3" s="3" t="s">
        <v>25</v>
      </c>
      <c r="E3" s="4"/>
      <c r="F3" s="4"/>
      <c r="G3" s="5" t="s">
        <v>30</v>
      </c>
      <c r="H3" s="4"/>
      <c r="I3" s="5" t="s">
        <v>31</v>
      </c>
      <c r="J3" s="4"/>
      <c r="K3" s="5" t="s">
        <v>36</v>
      </c>
      <c r="L3" s="4"/>
      <c r="M3" s="4" t="s">
        <v>32</v>
      </c>
      <c r="N3" s="5" t="s">
        <v>33</v>
      </c>
      <c r="O3" s="4"/>
      <c r="P3" s="5" t="s">
        <v>34</v>
      </c>
      <c r="Q3" s="4"/>
      <c r="R3" s="4" t="s">
        <v>35</v>
      </c>
      <c r="S3" s="7" t="s">
        <v>37</v>
      </c>
    </row>
    <row r="4" spans="1:19" ht="15.6" x14ac:dyDescent="0.3">
      <c r="A4" s="3" t="s">
        <v>22</v>
      </c>
      <c r="B4" s="3">
        <v>2</v>
      </c>
      <c r="C4" s="3">
        <v>300</v>
      </c>
      <c r="D4" s="3">
        <f>B4*C4</f>
        <v>600</v>
      </c>
      <c r="E4" s="4"/>
      <c r="F4" s="4"/>
      <c r="G4" s="5">
        <v>1</v>
      </c>
      <c r="H4" s="4">
        <f>D9*G4%</f>
        <v>5</v>
      </c>
      <c r="I4" s="5">
        <v>2</v>
      </c>
      <c r="J4" s="4">
        <f>D14*I4%</f>
        <v>22</v>
      </c>
      <c r="K4" s="5">
        <v>3</v>
      </c>
      <c r="L4" s="4">
        <f>(D4+D9+D14+H4+J4)*K4%</f>
        <v>66.81</v>
      </c>
      <c r="M4" s="4">
        <v>20</v>
      </c>
      <c r="N4" s="5">
        <v>4</v>
      </c>
      <c r="O4" s="4">
        <f>(D4+D9+D14+H4+J4+L4+M4)*N4%</f>
        <v>92.552400000000006</v>
      </c>
      <c r="P4" s="5">
        <v>5</v>
      </c>
      <c r="Q4" s="4">
        <f>(D4+D9+D14+H4+J4+L4+M4+O4)*P4%</f>
        <v>120.31812000000001</v>
      </c>
      <c r="R4" s="4">
        <f>(D4+D9+D14+H4+J4+L4+M4+O4+Q4)</f>
        <v>2526.6805199999999</v>
      </c>
      <c r="S4" s="4">
        <f>R4</f>
        <v>2526.6805199999999</v>
      </c>
    </row>
    <row r="5" spans="1:19" ht="15.6" x14ac:dyDescent="0.3">
      <c r="A5" s="3"/>
      <c r="B5" s="3"/>
      <c r="C5" s="3"/>
      <c r="D5" s="3"/>
      <c r="E5" s="4"/>
      <c r="F5" s="4"/>
      <c r="G5" s="4"/>
      <c r="H5" s="4"/>
      <c r="I5" s="4"/>
      <c r="J5" s="4"/>
      <c r="K5" s="4"/>
      <c r="L5" s="4">
        <v>3</v>
      </c>
      <c r="M5" s="4">
        <f>(D4+D9+D14+H4+J4+L4+M4)</f>
        <v>2313.81</v>
      </c>
      <c r="N5" s="4"/>
      <c r="O5" s="4"/>
      <c r="P5" s="4"/>
      <c r="Q5" s="4"/>
      <c r="R5" s="4"/>
    </row>
    <row r="6" spans="1:19" ht="15.6" x14ac:dyDescent="0.3">
      <c r="A6" s="3"/>
      <c r="B6" s="3"/>
      <c r="C6" s="3"/>
      <c r="D6" s="3"/>
      <c r="E6" s="4"/>
      <c r="F6" s="4"/>
      <c r="G6" s="4"/>
      <c r="H6" s="4"/>
      <c r="I6" s="4"/>
      <c r="J6" s="4"/>
      <c r="K6" s="4"/>
      <c r="L6" s="4">
        <v>3</v>
      </c>
      <c r="M6" s="4">
        <v>20</v>
      </c>
      <c r="N6" s="4"/>
      <c r="O6" s="4">
        <v>4</v>
      </c>
      <c r="P6" s="4"/>
      <c r="Q6" s="4">
        <v>5</v>
      </c>
      <c r="R6" s="4"/>
    </row>
    <row r="7" spans="1:19" ht="15.6" x14ac:dyDescent="0.3">
      <c r="A7" s="3"/>
      <c r="B7" s="3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>
        <v>112</v>
      </c>
      <c r="P7" s="4"/>
      <c r="Q7" s="4"/>
      <c r="R7" s="4"/>
    </row>
    <row r="8" spans="1:19" ht="15.6" x14ac:dyDescent="0.3">
      <c r="A8" s="3"/>
      <c r="B8" s="3" t="s">
        <v>23</v>
      </c>
      <c r="C8" s="3" t="s">
        <v>24</v>
      </c>
      <c r="D8" s="3" t="s">
        <v>27</v>
      </c>
      <c r="E8" s="4"/>
      <c r="F8" s="4"/>
      <c r="G8" s="4"/>
      <c r="H8" s="4"/>
      <c r="I8" s="4"/>
      <c r="J8" s="4"/>
      <c r="K8" s="4"/>
      <c r="L8" s="4"/>
      <c r="M8" s="4"/>
      <c r="N8" s="4"/>
      <c r="O8" s="4">
        <v>2414.1999999999998</v>
      </c>
      <c r="P8" s="4"/>
      <c r="Q8" s="4"/>
      <c r="R8" s="4"/>
    </row>
    <row r="9" spans="1:19" ht="15.6" x14ac:dyDescent="0.3">
      <c r="A9" s="3" t="s">
        <v>26</v>
      </c>
      <c r="B9" s="3">
        <v>2</v>
      </c>
      <c r="C9" s="3">
        <v>250</v>
      </c>
      <c r="D9" s="3">
        <f>B9*C9</f>
        <v>500</v>
      </c>
      <c r="E9" s="4"/>
      <c r="F9" s="4"/>
      <c r="G9" s="4"/>
      <c r="H9" s="4"/>
      <c r="I9" s="4"/>
      <c r="J9" s="4"/>
      <c r="K9" s="4"/>
      <c r="L9" s="4"/>
      <c r="M9" s="4"/>
      <c r="N9" s="4"/>
      <c r="O9" s="4">
        <f>O7+O8</f>
        <v>2526.1999999999998</v>
      </c>
      <c r="P9" s="4"/>
      <c r="Q9" s="4"/>
      <c r="R9" s="4"/>
    </row>
    <row r="10" spans="1:19" ht="15.6" x14ac:dyDescent="0.3">
      <c r="A10" s="3"/>
      <c r="B10" s="3"/>
      <c r="C10" s="3"/>
      <c r="D10" s="3"/>
      <c r="E10" s="4"/>
      <c r="F10" s="4"/>
      <c r="G10" s="5"/>
      <c r="H10" s="4"/>
      <c r="I10" s="5"/>
      <c r="J10" s="4"/>
      <c r="K10" s="5"/>
      <c r="L10" s="4"/>
      <c r="M10" s="4"/>
      <c r="N10" s="5"/>
      <c r="O10" s="4"/>
      <c r="P10" s="5"/>
      <c r="Q10" s="4"/>
      <c r="R10" s="4"/>
      <c r="S10" s="4"/>
    </row>
    <row r="11" spans="1:19" ht="15.6" x14ac:dyDescent="0.3">
      <c r="A11" s="3"/>
      <c r="B11" s="3"/>
      <c r="C11" s="3"/>
      <c r="D11" s="3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 spans="1:19" ht="15.6" x14ac:dyDescent="0.3">
      <c r="A12" s="3"/>
      <c r="B12" s="3"/>
      <c r="C12" s="3"/>
      <c r="D12" s="3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spans="1:19" ht="15.6" x14ac:dyDescent="0.3">
      <c r="A13" s="3"/>
      <c r="B13" s="3" t="s">
        <v>23</v>
      </c>
      <c r="C13" s="3" t="s">
        <v>24</v>
      </c>
      <c r="D13" s="3" t="s">
        <v>28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</row>
    <row r="14" spans="1:19" ht="15.6" x14ac:dyDescent="0.3">
      <c r="A14" s="3" t="s">
        <v>29</v>
      </c>
      <c r="B14" s="3">
        <v>2</v>
      </c>
      <c r="C14" s="3">
        <v>550</v>
      </c>
      <c r="D14" s="3">
        <f>B14*C14</f>
        <v>1100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 spans="1:19" ht="15.6" x14ac:dyDescent="0.3">
      <c r="A15" s="3"/>
      <c r="B15" s="3"/>
      <c r="C15" s="3"/>
      <c r="D15" s="3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R15"/>
  <sheetViews>
    <sheetView tabSelected="1" workbookViewId="0">
      <selection activeCell="J11" sqref="J11"/>
    </sheetView>
  </sheetViews>
  <sheetFormatPr defaultColWidth="14.44140625" defaultRowHeight="14.4" x14ac:dyDescent="0.3"/>
  <cols>
    <col min="2" max="2" width="4.6640625" bestFit="1" customWidth="1"/>
    <col min="3" max="3" width="5.5546875" bestFit="1" customWidth="1"/>
    <col min="4" max="4" width="20.5546875" bestFit="1" customWidth="1"/>
    <col min="6" max="6" width="18" bestFit="1" customWidth="1"/>
    <col min="7" max="7" width="2.109375" bestFit="1" customWidth="1"/>
    <col min="9" max="9" width="3.21875" bestFit="1" customWidth="1"/>
    <col min="11" max="11" width="6.5546875" bestFit="1" customWidth="1"/>
    <col min="12" max="12" width="9.77734375" bestFit="1" customWidth="1"/>
    <col min="13" max="13" width="9.5546875" bestFit="1" customWidth="1"/>
    <col min="14" max="14" width="8.77734375" bestFit="1" customWidth="1"/>
    <col min="15" max="15" width="12.33203125" bestFit="1" customWidth="1"/>
    <col min="16" max="16" width="11" bestFit="1" customWidth="1"/>
  </cols>
  <sheetData>
    <row r="2" spans="1:18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8" ht="15.6" x14ac:dyDescent="0.3">
      <c r="A3" s="3"/>
      <c r="B3" s="3" t="s">
        <v>23</v>
      </c>
      <c r="C3" s="3" t="s">
        <v>24</v>
      </c>
      <c r="D3" s="3" t="s">
        <v>25</v>
      </c>
      <c r="E3" s="4"/>
      <c r="F3" s="5" t="s">
        <v>30</v>
      </c>
      <c r="G3" s="4"/>
      <c r="H3" s="5" t="s">
        <v>31</v>
      </c>
      <c r="I3" s="4"/>
      <c r="J3" s="5" t="s">
        <v>36</v>
      </c>
      <c r="K3" s="4"/>
      <c r="L3" s="4" t="s">
        <v>32</v>
      </c>
      <c r="M3" s="5" t="s">
        <v>33</v>
      </c>
      <c r="N3" s="4"/>
      <c r="O3" s="5" t="s">
        <v>34</v>
      </c>
      <c r="P3" s="4"/>
      <c r="Q3" s="4" t="s">
        <v>35</v>
      </c>
      <c r="R3" s="7" t="s">
        <v>37</v>
      </c>
    </row>
    <row r="4" spans="1:18" ht="15.6" x14ac:dyDescent="0.3">
      <c r="A4" s="3" t="s">
        <v>22</v>
      </c>
      <c r="B4" s="3">
        <v>2</v>
      </c>
      <c r="C4" s="3">
        <v>250</v>
      </c>
      <c r="D4" s="3">
        <f>B4*C4</f>
        <v>500</v>
      </c>
      <c r="E4" s="4"/>
      <c r="F4" s="5">
        <v>1</v>
      </c>
      <c r="G4" s="4">
        <f>D9*F4%</f>
        <v>5</v>
      </c>
      <c r="H4" s="5">
        <v>2</v>
      </c>
      <c r="I4" s="4">
        <f>D14*H4%</f>
        <v>22</v>
      </c>
      <c r="J4" s="5">
        <v>3</v>
      </c>
      <c r="K4" s="4">
        <f>(D4+D9+D14+G4+I4)*J4%</f>
        <v>63.809999999999995</v>
      </c>
      <c r="L4" s="4">
        <v>20</v>
      </c>
      <c r="M4" s="5">
        <v>4</v>
      </c>
      <c r="N4" s="4">
        <f>(D4+D9+D14+G4+I4+K4+L4)*M4%</f>
        <v>88.432400000000001</v>
      </c>
      <c r="O4" s="5">
        <v>5</v>
      </c>
      <c r="P4" s="4">
        <f>(D4+D9+D14+G4+I4+K4+L4+N4)*O4%</f>
        <v>114.96212000000001</v>
      </c>
      <c r="Q4" s="4">
        <f>(D4+D9+D14+G4+I4+K4+L4+N4+P4)</f>
        <v>2414.2045200000002</v>
      </c>
      <c r="R4" s="4">
        <f>Q4</f>
        <v>2414.2045200000002</v>
      </c>
    </row>
    <row r="5" spans="1:18" ht="15.6" x14ac:dyDescent="0.3">
      <c r="A5" s="3"/>
      <c r="B5" s="3"/>
      <c r="C5" s="3"/>
      <c r="D5" s="3"/>
      <c r="E5" s="4"/>
      <c r="F5" s="6"/>
      <c r="G5" s="6"/>
      <c r="H5" s="6"/>
      <c r="I5" s="6"/>
      <c r="J5" s="6"/>
      <c r="K5" s="6"/>
      <c r="L5" s="6">
        <f>(D4+D9+D14+G4+I4+K4+L4)</f>
        <v>2210.81</v>
      </c>
      <c r="M5" s="6"/>
      <c r="N5" s="6"/>
      <c r="O5" s="6"/>
      <c r="P5" s="6"/>
      <c r="Q5" s="6"/>
    </row>
    <row r="6" spans="1:18" ht="15.6" x14ac:dyDescent="0.3">
      <c r="A6" s="3"/>
      <c r="B6" s="3"/>
      <c r="C6" s="3"/>
      <c r="D6" s="3"/>
      <c r="E6" s="4"/>
      <c r="F6" s="6"/>
      <c r="G6" s="6"/>
      <c r="H6" s="6"/>
      <c r="I6" s="6"/>
      <c r="J6" s="6"/>
      <c r="K6" s="6"/>
      <c r="L6" s="6"/>
      <c r="M6" s="6">
        <v>10</v>
      </c>
      <c r="N6" s="6">
        <f>(D4+D9+D14+G4+I4+K4+L4)*M6%</f>
        <v>221.08100000000002</v>
      </c>
      <c r="O6" s="6">
        <v>15</v>
      </c>
      <c r="P6" s="6">
        <f>(D4+D9+D14+G4+I4+K4+L4+N6)*O6%</f>
        <v>364.78365000000002</v>
      </c>
      <c r="Q6" s="6">
        <f>(D4+D9+D14+G4+I4+K4+L4+N6+P6)</f>
        <v>2796.6746499999999</v>
      </c>
      <c r="R6" s="4">
        <f>Q6</f>
        <v>2796.6746499999999</v>
      </c>
    </row>
    <row r="7" spans="1:18" ht="15.6" x14ac:dyDescent="0.3">
      <c r="A7" s="3"/>
      <c r="B7" s="3"/>
      <c r="C7" s="3"/>
      <c r="D7" s="3"/>
      <c r="E7" s="4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4"/>
    </row>
    <row r="8" spans="1:18" ht="15.6" x14ac:dyDescent="0.3">
      <c r="A8" s="3"/>
      <c r="B8" s="3" t="s">
        <v>23</v>
      </c>
      <c r="C8" s="3" t="s">
        <v>24</v>
      </c>
      <c r="D8" s="3" t="s">
        <v>27</v>
      </c>
      <c r="E8" s="4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4"/>
    </row>
    <row r="9" spans="1:18" ht="15.6" x14ac:dyDescent="0.3">
      <c r="A9" s="3" t="s">
        <v>26</v>
      </c>
      <c r="B9" s="3">
        <v>2</v>
      </c>
      <c r="C9" s="3">
        <v>250</v>
      </c>
      <c r="D9" s="3">
        <f>B9*C9</f>
        <v>500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 spans="1:18" ht="15.6" x14ac:dyDescent="0.3">
      <c r="A10" s="3"/>
      <c r="B10" s="3"/>
      <c r="C10" s="3"/>
      <c r="D10" s="3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 spans="1:18" ht="15.6" x14ac:dyDescent="0.3">
      <c r="A11" s="3"/>
      <c r="B11" s="3"/>
      <c r="C11" s="3"/>
      <c r="D11" s="3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2"/>
    </row>
    <row r="12" spans="1:18" ht="15.6" x14ac:dyDescent="0.3">
      <c r="A12" s="3"/>
      <c r="B12" s="3"/>
      <c r="C12" s="3"/>
      <c r="D12" s="3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2"/>
    </row>
    <row r="13" spans="1:18" ht="15.6" x14ac:dyDescent="0.3">
      <c r="A13" s="3"/>
      <c r="B13" s="3" t="s">
        <v>23</v>
      </c>
      <c r="C13" s="3" t="s">
        <v>24</v>
      </c>
      <c r="D13" s="3" t="s">
        <v>28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2"/>
    </row>
    <row r="14" spans="1:18" ht="15.6" x14ac:dyDescent="0.3">
      <c r="A14" s="3" t="s">
        <v>29</v>
      </c>
      <c r="B14" s="3">
        <v>2</v>
      </c>
      <c r="C14" s="3">
        <v>550</v>
      </c>
      <c r="D14" s="3">
        <f>B14*C14</f>
        <v>1100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2"/>
    </row>
    <row r="15" spans="1:18" ht="15.6" x14ac:dyDescent="0.3">
      <c r="A15" s="3"/>
      <c r="B15" s="3"/>
      <c r="C15" s="3"/>
      <c r="D15" s="3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athul raj</dc:creator>
  <cp:lastModifiedBy>Rehana</cp:lastModifiedBy>
  <dcterms:created xsi:type="dcterms:W3CDTF">2023-02-22T05:10:13Z</dcterms:created>
  <dcterms:modified xsi:type="dcterms:W3CDTF">2023-03-01T07:45:45Z</dcterms:modified>
</cp:coreProperties>
</file>